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ars\"/>
    </mc:Choice>
  </mc:AlternateContent>
  <xr:revisionPtr revIDLastSave="0" documentId="13_ncr:1_{3E622E3B-F360-4EC9-AC71-B9D338B91CF7}" xr6:coauthVersionLast="47" xr6:coauthVersionMax="47" xr10:uidLastSave="{00000000-0000-0000-0000-000000000000}"/>
  <bookViews>
    <workbookView xWindow="28875" yWindow="870" windowWidth="19200" windowHeight="11295" xr2:uid="{00000000-000D-0000-FFFF-FFFF00000000}"/>
  </bookViews>
  <sheets>
    <sheet name="Sheet1" sheetId="1" r:id="rId1"/>
  </sheets>
  <definedNames>
    <definedName name="_xlnm.Print_Area" localSheetId="0">Sheet1!$A$1:$G$23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G7" i="1" s="1"/>
  <c r="C11" i="1" l="1"/>
  <c r="C12" i="1" s="1"/>
  <c r="C14" i="1" s="1"/>
  <c r="C16" i="1" s="1"/>
  <c r="G6" i="1"/>
  <c r="C13" i="1" l="1"/>
  <c r="C15" i="1" s="1"/>
  <c r="C17" i="1" s="1"/>
  <c r="C18" i="1"/>
  <c r="C19" i="1"/>
  <c r="G3" i="1" l="1"/>
  <c r="C21" i="1"/>
  <c r="C20" i="1"/>
  <c r="G2" i="1"/>
  <c r="G14" i="1" l="1"/>
  <c r="G8" i="1"/>
  <c r="G11" i="1"/>
  <c r="G17" i="1"/>
  <c r="G12" i="1"/>
  <c r="G10" i="1" l="1"/>
  <c r="G9" i="1"/>
  <c r="G13" i="1" l="1"/>
  <c r="G16" i="1"/>
  <c r="G18" i="1"/>
  <c r="G15" i="1"/>
</calcChain>
</file>

<file path=xl/sharedStrings.xml><?xml version="1.0" encoding="utf-8"?>
<sst xmlns="http://schemas.openxmlformats.org/spreadsheetml/2006/main" count="65" uniqueCount="64">
  <si>
    <t>Basic dimensions</t>
  </si>
  <si>
    <t>Calculate Pitch cone dimensions</t>
  </si>
  <si>
    <r>
      <t>tan</t>
    </r>
    <r>
      <rPr>
        <vertAlign val="superscript"/>
        <sz val="10"/>
        <rFont val="Arial"/>
        <family val="2"/>
      </rPr>
      <t>-1</t>
    </r>
    <r>
      <rPr>
        <sz val="10"/>
        <rFont val="Arial"/>
      </rPr>
      <t>N</t>
    </r>
    <r>
      <rPr>
        <vertAlign val="subscript"/>
        <sz val="10"/>
        <rFont val="Arial"/>
        <family val="2"/>
      </rPr>
      <t>P</t>
    </r>
    <r>
      <rPr>
        <sz val="10"/>
        <rFont val="Arial"/>
      </rPr>
      <t>/N</t>
    </r>
    <r>
      <rPr>
        <vertAlign val="subscript"/>
        <sz val="10"/>
        <rFont val="Arial"/>
        <family val="2"/>
      </rPr>
      <t>G</t>
    </r>
  </si>
  <si>
    <r>
      <t>tan</t>
    </r>
    <r>
      <rPr>
        <vertAlign val="superscript"/>
        <sz val="10"/>
        <rFont val="Arial"/>
        <family val="2"/>
      </rPr>
      <t>-1</t>
    </r>
    <r>
      <rPr>
        <sz val="10"/>
        <rFont val="Arial"/>
      </rPr>
      <t>N</t>
    </r>
    <r>
      <rPr>
        <vertAlign val="subscript"/>
        <sz val="10"/>
        <rFont val="Arial"/>
        <family val="2"/>
      </rPr>
      <t>G</t>
    </r>
    <r>
      <rPr>
        <sz val="10"/>
        <rFont val="Arial"/>
      </rPr>
      <t>/N</t>
    </r>
    <r>
      <rPr>
        <vertAlign val="subscript"/>
        <sz val="10"/>
        <rFont val="Arial"/>
        <family val="2"/>
      </rPr>
      <t>P</t>
    </r>
  </si>
  <si>
    <r>
      <t>E - E</t>
    </r>
    <r>
      <rPr>
        <vertAlign val="subscript"/>
        <sz val="10"/>
        <rFont val="Arial"/>
        <family val="2"/>
      </rPr>
      <t>p</t>
    </r>
  </si>
  <si>
    <r>
      <t>E tan(Θ</t>
    </r>
    <r>
      <rPr>
        <vertAlign val="subscript"/>
        <sz val="10"/>
        <rFont val="Arial"/>
        <family val="2"/>
      </rPr>
      <t>P)</t>
    </r>
    <r>
      <rPr>
        <sz val="10"/>
        <rFont val="Arial"/>
        <family val="2"/>
      </rPr>
      <t>/(tan(Θ</t>
    </r>
    <r>
      <rPr>
        <vertAlign val="subscript"/>
        <sz val="10"/>
        <rFont val="Arial"/>
        <family val="2"/>
      </rPr>
      <t>G</t>
    </r>
    <r>
      <rPr>
        <sz val="10"/>
        <rFont val="Arial"/>
        <family val="2"/>
      </rPr>
      <t>)+tan(Θ</t>
    </r>
    <r>
      <rPr>
        <vertAlign val="subscript"/>
        <sz val="10"/>
        <rFont val="Arial"/>
        <family val="2"/>
      </rPr>
      <t>P</t>
    </r>
    <r>
      <rPr>
        <sz val="10"/>
        <rFont val="Arial"/>
        <family val="2"/>
      </rPr>
      <t>))</t>
    </r>
  </si>
  <si>
    <r>
      <t>Sqrt((D</t>
    </r>
    <r>
      <rPr>
        <vertAlign val="subscript"/>
        <sz val="10"/>
        <rFont val="Arial"/>
        <family val="2"/>
      </rPr>
      <t>1</t>
    </r>
    <r>
      <rPr>
        <sz val="10"/>
        <rFont val="Arial"/>
      </rPr>
      <t>/2)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- E</t>
    </r>
    <r>
      <rPr>
        <vertAlign val="subscript"/>
        <sz val="10"/>
        <rFont val="Arial"/>
        <family val="2"/>
      </rPr>
      <t>G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</si>
  <si>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Sqrt((D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/2)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- E</t>
    </r>
    <r>
      <rPr>
        <vertAlign val="subscript"/>
        <sz val="10"/>
        <rFont val="Arial"/>
        <family val="2"/>
      </rPr>
      <t>G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</si>
  <si>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x</t>
    </r>
    <r>
      <rPr>
        <vertAlign val="subscript"/>
        <sz val="10"/>
        <rFont val="Arial"/>
        <family val="2"/>
      </rPr>
      <t xml:space="preserve">1 </t>
    </r>
    <r>
      <rPr>
        <sz val="10"/>
        <rFont val="Arial"/>
      </rPr>
      <t>TAN(Θ</t>
    </r>
    <r>
      <rPr>
        <vertAlign val="subscript"/>
        <sz val="10"/>
        <rFont val="Arial"/>
        <family val="2"/>
      </rPr>
      <t>P</t>
    </r>
    <r>
      <rPr>
        <sz val="10"/>
        <rFont val="Arial"/>
      </rPr>
      <t>)</t>
    </r>
  </si>
  <si>
    <r>
      <t>x</t>
    </r>
    <r>
      <rPr>
        <vertAlign val="subscript"/>
        <sz val="10"/>
        <rFont val="Arial"/>
        <family val="2"/>
      </rPr>
      <t xml:space="preserve">2 </t>
    </r>
    <r>
      <rPr>
        <sz val="10"/>
        <rFont val="Arial"/>
      </rPr>
      <t>TAN(Θ</t>
    </r>
    <r>
      <rPr>
        <vertAlign val="subscript"/>
        <sz val="10"/>
        <rFont val="Arial"/>
        <family val="2"/>
      </rPr>
      <t>P</t>
    </r>
    <r>
      <rPr>
        <sz val="10"/>
        <rFont val="Arial"/>
      </rPr>
      <t>)</t>
    </r>
  </si>
  <si>
    <r>
      <t>2*Sqrt(X</t>
    </r>
    <r>
      <rPr>
        <vertAlign val="subscript"/>
        <sz val="10"/>
        <rFont val="Arial"/>
        <family val="2"/>
      </rPr>
      <t>1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+ Ep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</t>
    </r>
  </si>
  <si>
    <r>
      <t>A TAN(Θ</t>
    </r>
    <r>
      <rPr>
        <vertAlign val="subscript"/>
        <sz val="10"/>
        <rFont val="Arial"/>
        <family val="2"/>
      </rPr>
      <t>P</t>
    </r>
    <r>
      <rPr>
        <sz val="10"/>
        <rFont val="Arial"/>
      </rPr>
      <t>)</t>
    </r>
  </si>
  <si>
    <r>
      <t>A TAN(Θ</t>
    </r>
    <r>
      <rPr>
        <vertAlign val="subscript"/>
        <sz val="10"/>
        <rFont val="Arial"/>
        <family val="2"/>
      </rPr>
      <t>G</t>
    </r>
    <r>
      <rPr>
        <sz val="10"/>
        <rFont val="Arial"/>
      </rPr>
      <t>)</t>
    </r>
  </si>
  <si>
    <t>Calculate tooth dimensions</t>
  </si>
  <si>
    <r>
      <t>N</t>
    </r>
    <r>
      <rPr>
        <vertAlign val="subscript"/>
        <sz val="10"/>
        <rFont val="Arial"/>
        <family val="2"/>
      </rPr>
      <t>p</t>
    </r>
    <r>
      <rPr>
        <sz val="10"/>
        <rFont val="Arial"/>
      </rPr>
      <t>/cos( Θ</t>
    </r>
    <r>
      <rPr>
        <vertAlign val="subscript"/>
        <sz val="10"/>
        <rFont val="Arial"/>
        <family val="2"/>
      </rPr>
      <t>P</t>
    </r>
    <r>
      <rPr>
        <sz val="10"/>
        <rFont val="Arial"/>
      </rPr>
      <t>)</t>
    </r>
  </si>
  <si>
    <r>
      <t>N</t>
    </r>
    <r>
      <rPr>
        <vertAlign val="subscript"/>
        <sz val="10"/>
        <rFont val="Arial"/>
        <family val="2"/>
      </rPr>
      <t>G</t>
    </r>
    <r>
      <rPr>
        <sz val="10"/>
        <rFont val="Arial"/>
      </rPr>
      <t>/cos( Θ</t>
    </r>
    <r>
      <rPr>
        <vertAlign val="subscript"/>
        <sz val="10"/>
        <rFont val="Arial"/>
        <family val="2"/>
      </rPr>
      <t>G</t>
    </r>
    <r>
      <rPr>
        <sz val="10"/>
        <rFont val="Arial"/>
      </rPr>
      <t>)</t>
    </r>
  </si>
  <si>
    <r>
      <t>2 r</t>
    </r>
    <r>
      <rPr>
        <vertAlign val="subscript"/>
        <sz val="10"/>
        <rFont val="Arial"/>
        <family val="2"/>
      </rPr>
      <t>e</t>
    </r>
    <r>
      <rPr>
        <sz val="10"/>
        <rFont val="Arial"/>
      </rPr>
      <t>/N</t>
    </r>
    <r>
      <rPr>
        <vertAlign val="subscript"/>
        <sz val="10"/>
        <rFont val="Arial"/>
        <family val="2"/>
      </rPr>
      <t>pe</t>
    </r>
  </si>
  <si>
    <r>
      <t>1.25 * a</t>
    </r>
    <r>
      <rPr>
        <vertAlign val="subscript"/>
        <sz val="10"/>
        <rFont val="Arial"/>
        <family val="2"/>
      </rPr>
      <t>0</t>
    </r>
  </si>
  <si>
    <t>Calculate Gear Blank dimensions</t>
  </si>
  <si>
    <r>
      <t>tan</t>
    </r>
    <r>
      <rPr>
        <vertAlign val="superscript"/>
        <sz val="10"/>
        <rFont val="Arial"/>
        <family val="2"/>
      </rPr>
      <t>-1</t>
    </r>
    <r>
      <rPr>
        <sz val="10"/>
        <rFont val="Arial"/>
      </rPr>
      <t>(d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-d</t>
    </r>
    <r>
      <rPr>
        <vertAlign val="subscript"/>
        <sz val="10"/>
        <rFont val="Arial"/>
        <family val="2"/>
      </rPr>
      <t>1</t>
    </r>
    <r>
      <rPr>
        <sz val="10"/>
        <rFont val="Arial"/>
      </rPr>
      <t>)/(2(x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-x</t>
    </r>
    <r>
      <rPr>
        <vertAlign val="subscript"/>
        <sz val="10"/>
        <rFont val="Arial"/>
        <family val="2"/>
      </rPr>
      <t>1</t>
    </r>
    <r>
      <rPr>
        <sz val="10"/>
        <rFont val="Arial"/>
      </rPr>
      <t>))</t>
    </r>
  </si>
  <si>
    <r>
      <t>tan</t>
    </r>
    <r>
      <rPr>
        <vertAlign val="superscript"/>
        <sz val="10"/>
        <rFont val="Arial"/>
        <family val="2"/>
      </rPr>
      <t>-1</t>
    </r>
    <r>
      <rPr>
        <sz val="10"/>
        <rFont val="Arial"/>
      </rPr>
      <t>(D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-D</t>
    </r>
    <r>
      <rPr>
        <vertAlign val="subscript"/>
        <sz val="10"/>
        <rFont val="Arial"/>
        <family val="2"/>
      </rPr>
      <t>1</t>
    </r>
    <r>
      <rPr>
        <sz val="10"/>
        <rFont val="Arial"/>
      </rPr>
      <t>)/(2(X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-X</t>
    </r>
    <r>
      <rPr>
        <vertAlign val="subscript"/>
        <sz val="10"/>
        <rFont val="Arial"/>
        <family val="2"/>
      </rPr>
      <t>1</t>
    </r>
    <r>
      <rPr>
        <sz val="10"/>
        <rFont val="Arial"/>
      </rPr>
      <t>))</t>
    </r>
  </si>
  <si>
    <r>
      <t>Offset</t>
    </r>
    <r>
      <rPr>
        <b/>
        <sz val="10"/>
        <rFont val="Arial"/>
        <family val="2"/>
      </rPr>
      <t xml:space="preserve"> E</t>
    </r>
    <r>
      <rPr>
        <sz val="10"/>
        <rFont val="Arial"/>
      </rPr>
      <t>:</t>
    </r>
  </si>
  <si>
    <r>
      <t xml:space="preserve">GearP Dia. </t>
    </r>
    <r>
      <rPr>
        <b/>
        <sz val="10"/>
        <rFont val="Arial"/>
        <family val="2"/>
      </rPr>
      <t>D</t>
    </r>
    <r>
      <rPr>
        <b/>
        <vertAlign val="subscript"/>
        <sz val="10"/>
        <rFont val="Arial"/>
        <family val="2"/>
      </rPr>
      <t>1</t>
    </r>
  </si>
  <si>
    <r>
      <t xml:space="preserve">GearP Dia. </t>
    </r>
    <r>
      <rPr>
        <b/>
        <sz val="10"/>
        <rFont val="Arial"/>
        <family val="2"/>
      </rPr>
      <t>D</t>
    </r>
    <r>
      <rPr>
        <b/>
        <vertAlign val="subscript"/>
        <sz val="10"/>
        <rFont val="Arial"/>
        <family val="2"/>
      </rPr>
      <t>2</t>
    </r>
  </si>
  <si>
    <r>
      <t xml:space="preserve">Number pinion teeth </t>
    </r>
    <r>
      <rPr>
        <b/>
        <sz val="10"/>
        <rFont val="Arial"/>
        <family val="2"/>
      </rPr>
      <t>N</t>
    </r>
    <r>
      <rPr>
        <b/>
        <vertAlign val="subscript"/>
        <sz val="10"/>
        <rFont val="Arial"/>
        <family val="2"/>
      </rPr>
      <t>P</t>
    </r>
  </si>
  <si>
    <r>
      <t xml:space="preserve">Pinion tooth offset </t>
    </r>
    <r>
      <rPr>
        <b/>
        <sz val="10"/>
        <rFont val="Arial"/>
        <family val="2"/>
      </rPr>
      <t>E</t>
    </r>
    <r>
      <rPr>
        <b/>
        <vertAlign val="subscript"/>
        <sz val="10"/>
        <rFont val="Arial"/>
        <family val="2"/>
      </rPr>
      <t>P</t>
    </r>
  </si>
  <si>
    <r>
      <t xml:space="preserve">Gear tooth offset </t>
    </r>
    <r>
      <rPr>
        <b/>
        <sz val="10"/>
        <rFont val="Arial"/>
        <family val="2"/>
      </rPr>
      <t>E</t>
    </r>
    <r>
      <rPr>
        <b/>
        <vertAlign val="subscript"/>
        <sz val="10"/>
        <rFont val="Arial"/>
        <family val="2"/>
      </rPr>
      <t>G</t>
    </r>
  </si>
  <si>
    <r>
      <t xml:space="preserve">Distance </t>
    </r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1</t>
    </r>
  </si>
  <si>
    <r>
      <t>Distance</t>
    </r>
    <r>
      <rPr>
        <b/>
        <sz val="10"/>
        <rFont val="Arial"/>
        <family val="2"/>
      </rPr>
      <t xml:space="preserve"> x</t>
    </r>
    <r>
      <rPr>
        <b/>
        <vertAlign val="subscript"/>
        <sz val="10"/>
        <rFont val="Arial"/>
        <family val="2"/>
      </rPr>
      <t>2</t>
    </r>
  </si>
  <si>
    <r>
      <t xml:space="preserve">Distance </t>
    </r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1</t>
    </r>
  </si>
  <si>
    <r>
      <t xml:space="preserve">Distance </t>
    </r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2</t>
    </r>
  </si>
  <si>
    <r>
      <t>Pinion P Dia.</t>
    </r>
    <r>
      <rPr>
        <b/>
        <sz val="10"/>
        <rFont val="Arial"/>
        <family val="2"/>
      </rPr>
      <t xml:space="preserve"> d</t>
    </r>
    <r>
      <rPr>
        <b/>
        <vertAlign val="subscript"/>
        <sz val="10"/>
        <rFont val="Arial"/>
        <family val="2"/>
      </rPr>
      <t>1</t>
    </r>
  </si>
  <si>
    <r>
      <t xml:space="preserve">Pinion P Dia. </t>
    </r>
    <r>
      <rPr>
        <b/>
        <sz val="10"/>
        <rFont val="Arial"/>
        <family val="2"/>
      </rPr>
      <t>d</t>
    </r>
    <r>
      <rPr>
        <b/>
        <vertAlign val="subscript"/>
        <sz val="10"/>
        <rFont val="Arial"/>
        <family val="2"/>
      </rPr>
      <t>2</t>
    </r>
  </si>
  <si>
    <r>
      <t xml:space="preserve">Pinion equiv. P radius </t>
    </r>
    <r>
      <rPr>
        <b/>
        <sz val="10"/>
        <rFont val="Arial"/>
        <family val="2"/>
      </rPr>
      <t>r</t>
    </r>
    <r>
      <rPr>
        <b/>
        <vertAlign val="subscript"/>
        <sz val="10"/>
        <rFont val="Arial"/>
        <family val="2"/>
      </rPr>
      <t>e</t>
    </r>
  </si>
  <si>
    <r>
      <t xml:space="preserve">Gear equiv. P radius </t>
    </r>
    <r>
      <rPr>
        <b/>
        <sz val="10"/>
        <rFont val="Arial"/>
        <family val="2"/>
      </rPr>
      <t>R</t>
    </r>
    <r>
      <rPr>
        <b/>
        <vertAlign val="subscript"/>
        <sz val="10"/>
        <rFont val="Arial"/>
        <family val="2"/>
      </rPr>
      <t>e</t>
    </r>
  </si>
  <si>
    <r>
      <t xml:space="preserve">Pinion equiv. Number of teeth, </t>
    </r>
    <r>
      <rPr>
        <b/>
        <sz val="10"/>
        <rFont val="Arial"/>
        <family val="2"/>
      </rPr>
      <t>N</t>
    </r>
    <r>
      <rPr>
        <b/>
        <vertAlign val="subscript"/>
        <sz val="10"/>
        <rFont val="Arial"/>
        <family val="2"/>
      </rPr>
      <t>Pe</t>
    </r>
    <r>
      <rPr>
        <b/>
        <sz val="10"/>
        <rFont val="Arial"/>
        <family val="2"/>
      </rPr>
      <t xml:space="preserve"> </t>
    </r>
  </si>
  <si>
    <r>
      <t>Gear equiv. Number of teeth,</t>
    </r>
    <r>
      <rPr>
        <b/>
        <sz val="10"/>
        <rFont val="Arial"/>
        <family val="2"/>
      </rPr>
      <t xml:space="preserve"> N</t>
    </r>
    <r>
      <rPr>
        <b/>
        <vertAlign val="subscript"/>
        <sz val="10"/>
        <rFont val="Arial"/>
        <family val="2"/>
      </rPr>
      <t>Ge</t>
    </r>
    <r>
      <rPr>
        <sz val="10"/>
        <rFont val="Arial"/>
      </rPr>
      <t xml:space="preserve"> </t>
    </r>
  </si>
  <si>
    <r>
      <t xml:space="preserve">Addendum,  </t>
    </r>
    <r>
      <rPr>
        <b/>
        <sz val="10"/>
        <rFont val="Arial"/>
        <family val="2"/>
      </rPr>
      <t>a</t>
    </r>
    <r>
      <rPr>
        <b/>
        <vertAlign val="subscript"/>
        <sz val="10"/>
        <rFont val="Arial"/>
        <family val="2"/>
      </rPr>
      <t>0</t>
    </r>
  </si>
  <si>
    <r>
      <t>Dedendum,</t>
    </r>
    <r>
      <rPr>
        <b/>
        <sz val="10"/>
        <rFont val="Arial"/>
        <family val="2"/>
      </rPr>
      <t xml:space="preserve"> b</t>
    </r>
    <r>
      <rPr>
        <b/>
        <vertAlign val="subscript"/>
        <sz val="10"/>
        <rFont val="Arial"/>
        <family val="2"/>
      </rPr>
      <t>0</t>
    </r>
  </si>
  <si>
    <r>
      <t xml:space="preserve">Backlash, </t>
    </r>
    <r>
      <rPr>
        <b/>
        <sz val="10"/>
        <rFont val="Arial"/>
        <family val="2"/>
      </rPr>
      <t>B</t>
    </r>
  </si>
  <si>
    <r>
      <t xml:space="preserve">Pinion pitch cone angle, </t>
    </r>
    <r>
      <rPr>
        <b/>
        <sz val="10"/>
        <rFont val="Arial"/>
        <family val="2"/>
      </rPr>
      <t>γ</t>
    </r>
  </si>
  <si>
    <r>
      <t xml:space="preserve">Gear pitch cone angle,   </t>
    </r>
    <r>
      <rPr>
        <b/>
        <sz val="10"/>
        <rFont val="Arial"/>
        <family val="2"/>
      </rPr>
      <t>Γ</t>
    </r>
  </si>
  <si>
    <r>
      <t xml:space="preserve">Distance </t>
    </r>
    <r>
      <rPr>
        <b/>
        <sz val="10"/>
        <rFont val="Arial"/>
        <family val="2"/>
      </rPr>
      <t>A</t>
    </r>
    <r>
      <rPr>
        <sz val="10"/>
        <rFont val="Arial"/>
        <family val="2"/>
      </rPr>
      <t xml:space="preserve"> to sketchplane</t>
    </r>
  </si>
  <si>
    <r>
      <t xml:space="preserve">Angel </t>
    </r>
    <r>
      <rPr>
        <b/>
        <sz val="10"/>
        <rFont val="Arial"/>
        <family val="2"/>
      </rPr>
      <t>Θ</t>
    </r>
    <r>
      <rPr>
        <b/>
        <vertAlign val="subscript"/>
        <sz val="10"/>
        <rFont val="Arial"/>
        <family val="2"/>
      </rPr>
      <t xml:space="preserve">P </t>
    </r>
    <r>
      <rPr>
        <sz val="10"/>
        <rFont val="Arial"/>
        <family val="2"/>
      </rPr>
      <t>used for sketchplane</t>
    </r>
  </si>
  <si>
    <r>
      <t xml:space="preserve">Angel </t>
    </r>
    <r>
      <rPr>
        <b/>
        <sz val="10"/>
        <rFont val="Arial"/>
        <family val="2"/>
      </rPr>
      <t>Θ</t>
    </r>
    <r>
      <rPr>
        <b/>
        <vertAlign val="subscript"/>
        <sz val="10"/>
        <rFont val="Arial"/>
        <family val="2"/>
      </rPr>
      <t xml:space="preserve">G </t>
    </r>
    <r>
      <rPr>
        <sz val="10"/>
        <rFont val="Arial"/>
        <family val="2"/>
      </rPr>
      <t>used for sketchplane</t>
    </r>
  </si>
  <si>
    <r>
      <t>r</t>
    </r>
    <r>
      <rPr>
        <vertAlign val="subscript"/>
        <sz val="10"/>
        <rFont val="Arial"/>
        <family val="2"/>
      </rPr>
      <t>e</t>
    </r>
    <r>
      <rPr>
        <sz val="10"/>
        <rFont val="Arial"/>
      </rPr>
      <t>-b</t>
    </r>
    <r>
      <rPr>
        <vertAlign val="subscript"/>
        <sz val="10"/>
        <rFont val="Arial"/>
        <family val="2"/>
      </rPr>
      <t>0</t>
    </r>
  </si>
  <si>
    <r>
      <t>R</t>
    </r>
    <r>
      <rPr>
        <vertAlign val="subscript"/>
        <sz val="10"/>
        <rFont val="Arial"/>
        <family val="2"/>
      </rPr>
      <t>e</t>
    </r>
    <r>
      <rPr>
        <sz val="10"/>
        <rFont val="Arial"/>
      </rPr>
      <t>-b</t>
    </r>
    <r>
      <rPr>
        <vertAlign val="subscript"/>
        <sz val="10"/>
        <rFont val="Arial"/>
        <family val="2"/>
      </rPr>
      <t>0</t>
    </r>
  </si>
  <si>
    <r>
      <t>Pinion Bund Cir. Radi</t>
    </r>
    <r>
      <rPr>
        <b/>
        <sz val="10"/>
        <rFont val="Arial"/>
        <family val="2"/>
      </rPr>
      <t xml:space="preserve"> r</t>
    </r>
    <r>
      <rPr>
        <b/>
        <vertAlign val="subscript"/>
        <sz val="10"/>
        <rFont val="Arial"/>
        <family val="2"/>
      </rPr>
      <t>B</t>
    </r>
  </si>
  <si>
    <r>
      <t xml:space="preserve">Gear Bund Cir. Radi </t>
    </r>
    <r>
      <rPr>
        <b/>
        <sz val="10"/>
        <rFont val="Arial"/>
        <family val="2"/>
      </rPr>
      <t>R</t>
    </r>
    <r>
      <rPr>
        <b/>
        <vertAlign val="subscript"/>
        <sz val="10"/>
        <rFont val="Arial"/>
        <family val="2"/>
      </rPr>
      <t>B</t>
    </r>
  </si>
  <si>
    <r>
      <t xml:space="preserve">Dist.between teeths in Pin.PCir </t>
    </r>
    <r>
      <rPr>
        <b/>
        <sz val="10"/>
        <rFont val="Arial"/>
        <family val="2"/>
      </rPr>
      <t>w</t>
    </r>
  </si>
  <si>
    <r>
      <t xml:space="preserve">Number gear teeth </t>
    </r>
    <r>
      <rPr>
        <b/>
        <sz val="10"/>
        <rFont val="Arial"/>
        <family val="2"/>
      </rPr>
      <t>N</t>
    </r>
    <r>
      <rPr>
        <b/>
        <vertAlign val="subscript"/>
        <sz val="10"/>
        <rFont val="Arial"/>
        <family val="2"/>
      </rPr>
      <t>G</t>
    </r>
  </si>
  <si>
    <r>
      <t xml:space="preserve">B </t>
    </r>
    <r>
      <rPr>
        <sz val="12"/>
        <rFont val="Arial"/>
        <family val="2"/>
      </rPr>
      <t xml:space="preserve">+ π </t>
    </r>
    <r>
      <rPr>
        <sz val="10"/>
        <rFont val="Arial"/>
        <family val="2"/>
      </rPr>
      <t>*D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/(N</t>
    </r>
    <r>
      <rPr>
        <vertAlign val="subscript"/>
        <sz val="10"/>
        <rFont val="Arial"/>
        <family val="2"/>
      </rPr>
      <t>G</t>
    </r>
    <r>
      <rPr>
        <sz val="10"/>
        <rFont val="Arial"/>
        <family val="2"/>
      </rPr>
      <t>*2)</t>
    </r>
  </si>
  <si>
    <r>
      <t xml:space="preserve">B </t>
    </r>
    <r>
      <rPr>
        <sz val="12"/>
        <rFont val="Arial"/>
        <family val="2"/>
      </rPr>
      <t xml:space="preserve">+ π </t>
    </r>
    <r>
      <rPr>
        <sz val="10"/>
        <rFont val="Arial"/>
        <family val="2"/>
      </rPr>
      <t>*d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/(N</t>
    </r>
    <r>
      <rPr>
        <vertAlign val="subscript"/>
        <sz val="10"/>
        <rFont val="Arial"/>
        <family val="2"/>
      </rPr>
      <t>P</t>
    </r>
    <r>
      <rPr>
        <sz val="10"/>
        <rFont val="Arial"/>
        <family val="2"/>
      </rPr>
      <t>*2)</t>
    </r>
  </si>
  <si>
    <r>
      <t xml:space="preserve">Dist.between teeths in Gear.PCir </t>
    </r>
    <r>
      <rPr>
        <b/>
        <sz val="10"/>
        <rFont val="Arial"/>
        <family val="2"/>
      </rPr>
      <t>W</t>
    </r>
  </si>
  <si>
    <r>
      <t xml:space="preserve">Pinion flank radi. , </t>
    </r>
    <r>
      <rPr>
        <b/>
        <sz val="10"/>
        <rFont val="Arial"/>
        <family val="2"/>
      </rPr>
      <t>r</t>
    </r>
    <r>
      <rPr>
        <b/>
        <vertAlign val="subscript"/>
        <sz val="10"/>
        <rFont val="Arial"/>
        <family val="2"/>
      </rPr>
      <t>CP</t>
    </r>
  </si>
  <si>
    <r>
      <t xml:space="preserve"> r</t>
    </r>
    <r>
      <rPr>
        <vertAlign val="subscript"/>
        <sz val="10"/>
        <rFont val="Arial"/>
        <family val="2"/>
      </rPr>
      <t>e</t>
    </r>
    <r>
      <rPr>
        <sz val="10"/>
        <rFont val="Arial"/>
      </rPr>
      <t xml:space="preserve"> sin(20)</t>
    </r>
  </si>
  <si>
    <r>
      <t xml:space="preserve">Gear flank radi. , </t>
    </r>
    <r>
      <rPr>
        <b/>
        <sz val="10"/>
        <rFont val="Arial"/>
        <family val="2"/>
      </rPr>
      <t>r</t>
    </r>
    <r>
      <rPr>
        <b/>
        <vertAlign val="subscript"/>
        <sz val="10"/>
        <rFont val="Arial"/>
        <family val="2"/>
      </rPr>
      <t>CG</t>
    </r>
  </si>
  <si>
    <r>
      <t xml:space="preserve"> R</t>
    </r>
    <r>
      <rPr>
        <vertAlign val="subscript"/>
        <sz val="10"/>
        <rFont val="Arial"/>
        <family val="2"/>
      </rPr>
      <t>e</t>
    </r>
    <r>
      <rPr>
        <sz val="10"/>
        <rFont val="Arial"/>
      </rPr>
      <t xml:space="preserve"> sin(20)</t>
    </r>
  </si>
  <si>
    <r>
      <t>Sqrt((D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/2)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+ X</t>
    </r>
    <r>
      <rPr>
        <vertAlign val="subscript"/>
        <sz val="10"/>
        <rFont val="Arial"/>
        <family val="2"/>
      </rPr>
      <t>2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</t>
    </r>
  </si>
  <si>
    <r>
      <t>Pinion base Radi</t>
    </r>
    <r>
      <rPr>
        <b/>
        <sz val="10"/>
        <rFont val="Arial"/>
        <family val="2"/>
      </rPr>
      <t xml:space="preserve"> b</t>
    </r>
    <r>
      <rPr>
        <b/>
        <vertAlign val="subscript"/>
        <sz val="10"/>
        <rFont val="Arial"/>
        <family val="2"/>
      </rPr>
      <t xml:space="preserve">R </t>
    </r>
  </si>
  <si>
    <r>
      <t xml:space="preserve">Gear base Radi </t>
    </r>
    <r>
      <rPr>
        <b/>
        <sz val="10"/>
        <rFont val="Arial"/>
        <family val="2"/>
      </rPr>
      <t>B</t>
    </r>
    <r>
      <rPr>
        <b/>
        <vertAlign val="subscript"/>
        <sz val="10"/>
        <rFont val="Arial"/>
        <family val="2"/>
      </rPr>
      <t xml:space="preserve">R </t>
    </r>
  </si>
  <si>
    <r>
      <t>r</t>
    </r>
    <r>
      <rPr>
        <vertAlign val="subscript"/>
        <sz val="10"/>
        <rFont val="Arial"/>
        <family val="2"/>
      </rPr>
      <t>e</t>
    </r>
    <r>
      <rPr>
        <sz val="10"/>
        <rFont val="Arial"/>
      </rPr>
      <t>*cos(20)</t>
    </r>
  </si>
  <si>
    <r>
      <t>R</t>
    </r>
    <r>
      <rPr>
        <vertAlign val="subscript"/>
        <sz val="10"/>
        <rFont val="Arial"/>
        <family val="2"/>
      </rPr>
      <t>e</t>
    </r>
    <r>
      <rPr>
        <sz val="10"/>
        <rFont val="Arial"/>
      </rPr>
      <t>*cos(20)</t>
    </r>
  </si>
  <si>
    <r>
      <t>0.1 * a</t>
    </r>
    <r>
      <rPr>
        <vertAlign val="subscript"/>
        <sz val="10"/>
        <rFont val="Arial"/>
        <family val="2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</si>
</sst>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2"/>
      <name val="Arial"/>
      <family val="2"/>
    </font>
    <font>
      <sz val="8"/>
      <name val="Arial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31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164" fontId="0" fillId="0" borderId="9" xfId="0" applyNumberFormat="1" applyBorder="1"/>
    <xf numFmtId="164" fontId="0" fillId="0" borderId="10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164" fontId="0" fillId="0" borderId="2" xfId="0" applyNumberFormat="1" applyBorder="1"/>
    <xf numFmtId="1" fontId="0" fillId="0" borderId="2" xfId="0" applyNumberFormat="1" applyBorder="1"/>
    <xf numFmtId="0" fontId="0" fillId="0" borderId="12" xfId="0" applyBorder="1"/>
    <xf numFmtId="0" fontId="0" fillId="0" borderId="13" xfId="0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0" fontId="0" fillId="0" borderId="19" xfId="0" applyBorder="1"/>
    <xf numFmtId="0" fontId="0" fillId="0" borderId="0" xfId="0" applyAlignment="1">
      <alignment horizontal="center"/>
    </xf>
    <xf numFmtId="164" fontId="0" fillId="0" borderId="20" xfId="0" applyNumberFormat="1" applyBorder="1"/>
    <xf numFmtId="0" fontId="5" fillId="0" borderId="6" xfId="0" applyFont="1" applyBorder="1"/>
    <xf numFmtId="0" fontId="0" fillId="0" borderId="0" xfId="0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164" fontId="0" fillId="0" borderId="24" xfId="0" applyNumberFormat="1" applyBorder="1"/>
    <xf numFmtId="0" fontId="0" fillId="0" borderId="25" xfId="0" applyBorder="1"/>
    <xf numFmtId="164" fontId="0" fillId="0" borderId="25" xfId="0" applyNumberFormat="1" applyBorder="1"/>
    <xf numFmtId="0" fontId="5" fillId="0" borderId="0" xfId="0" applyFont="1"/>
    <xf numFmtId="0" fontId="0" fillId="0" borderId="20" xfId="0" applyBorder="1"/>
    <xf numFmtId="0" fontId="5" fillId="0" borderId="8" xfId="0" applyFont="1" applyBorder="1"/>
    <xf numFmtId="0" fontId="0" fillId="0" borderId="2" xfId="0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1" fillId="0" borderId="26" xfId="0" applyFont="1" applyBorder="1" applyAlignment="1">
      <alignment horizontal="center"/>
    </xf>
    <xf numFmtId="0" fontId="0" fillId="0" borderId="1" xfId="0" applyBorder="1"/>
    <xf numFmtId="0" fontId="0" fillId="0" borderId="27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5" workbookViewId="0">
      <selection activeCell="C20" sqref="C20"/>
    </sheetView>
  </sheetViews>
  <sheetFormatPr defaultRowHeight="12.75" x14ac:dyDescent="0.2"/>
  <cols>
    <col min="1" max="1" width="31.140625" customWidth="1"/>
    <col min="2" max="2" width="23.85546875" hidden="1" customWidth="1"/>
    <col min="3" max="3" width="15.28515625" style="1" customWidth="1"/>
    <col min="4" max="4" width="4" style="1" customWidth="1"/>
    <col min="5" max="5" width="32.140625" customWidth="1"/>
    <col min="6" max="6" width="26" hidden="1" customWidth="1"/>
    <col min="7" max="7" width="9.5703125" customWidth="1"/>
    <col min="8" max="8" width="11.5703125" customWidth="1"/>
  </cols>
  <sheetData>
    <row r="1" spans="1:8" ht="17.25" thickTop="1" thickBot="1" x14ac:dyDescent="0.3">
      <c r="A1" s="43" t="s">
        <v>0</v>
      </c>
      <c r="B1" s="48"/>
      <c r="C1" s="48"/>
      <c r="D1" s="4"/>
      <c r="E1" s="43" t="s">
        <v>18</v>
      </c>
      <c r="F1" s="44"/>
      <c r="G1" s="45"/>
    </row>
    <row r="2" spans="1:8" ht="16.5" thickTop="1" x14ac:dyDescent="0.3">
      <c r="A2" s="40" t="s">
        <v>21</v>
      </c>
      <c r="B2" s="6"/>
      <c r="C2" s="12">
        <v>0</v>
      </c>
      <c r="D2" s="16"/>
      <c r="E2" s="5" t="s">
        <v>40</v>
      </c>
      <c r="F2" s="6" t="s">
        <v>19</v>
      </c>
      <c r="G2" s="20">
        <f>180*ATAN((C18-C17)/(2*(C14-C13)))/3.14159</f>
        <v>26.565073615635747</v>
      </c>
    </row>
    <row r="3" spans="1:8" ht="16.5" thickBot="1" x14ac:dyDescent="0.35">
      <c r="A3" s="41" t="s">
        <v>22</v>
      </c>
      <c r="B3" s="8"/>
      <c r="C3" s="13">
        <v>150</v>
      </c>
      <c r="D3" s="16"/>
      <c r="E3" s="30" t="s">
        <v>41</v>
      </c>
      <c r="F3" s="31" t="s">
        <v>20</v>
      </c>
      <c r="G3" s="33">
        <f>180*ATAN((C4-C3)/(2*(C16-C15)))/3.14159</f>
        <v>63.435002404176323</v>
      </c>
      <c r="H3" s="39"/>
    </row>
    <row r="4" spans="1:8" ht="15" thickBot="1" x14ac:dyDescent="0.3">
      <c r="A4" s="41" t="s">
        <v>23</v>
      </c>
      <c r="B4" s="8"/>
      <c r="C4" s="13">
        <v>300</v>
      </c>
      <c r="D4" s="16"/>
      <c r="E4" s="34"/>
      <c r="F4" s="34"/>
      <c r="G4" s="35"/>
    </row>
    <row r="5" spans="1:8" ht="17.25" thickTop="1" thickBot="1" x14ac:dyDescent="0.3">
      <c r="A5" s="41" t="s">
        <v>24</v>
      </c>
      <c r="B5" s="8"/>
      <c r="C5" s="14">
        <v>50</v>
      </c>
      <c r="D5" s="17"/>
      <c r="E5" s="49" t="s">
        <v>13</v>
      </c>
      <c r="F5" s="50"/>
      <c r="G5" s="51"/>
    </row>
    <row r="6" spans="1:8" ht="17.25" thickTop="1" thickBot="1" x14ac:dyDescent="0.35">
      <c r="A6" s="42" t="s">
        <v>50</v>
      </c>
      <c r="B6" s="10"/>
      <c r="C6" s="15">
        <v>100</v>
      </c>
      <c r="D6" s="17"/>
      <c r="E6" s="5" t="s">
        <v>35</v>
      </c>
      <c r="F6" s="6" t="s">
        <v>14</v>
      </c>
      <c r="G6" s="20">
        <f>C5/COS(C9*3.14159/180)</f>
        <v>55.901699437494742</v>
      </c>
    </row>
    <row r="7" spans="1:8" ht="17.25" thickTop="1" thickBot="1" x14ac:dyDescent="0.35">
      <c r="A7" s="2"/>
      <c r="B7" s="2"/>
      <c r="C7" s="3"/>
      <c r="D7" s="11"/>
      <c r="E7" s="32" t="s">
        <v>36</v>
      </c>
      <c r="F7" s="25" t="s">
        <v>15</v>
      </c>
      <c r="G7" s="23">
        <f>C6/COS(C10*3.14159/180)</f>
        <v>223.60679774997891</v>
      </c>
    </row>
    <row r="8" spans="1:8" ht="18" thickTop="1" thickBot="1" x14ac:dyDescent="0.35">
      <c r="A8" s="43" t="s">
        <v>1</v>
      </c>
      <c r="B8" s="48"/>
      <c r="C8" s="48"/>
      <c r="D8" s="17"/>
      <c r="E8" s="5" t="s">
        <v>37</v>
      </c>
      <c r="F8" s="6" t="s">
        <v>16</v>
      </c>
      <c r="G8" s="20">
        <f>SUM(2*C20/G6)</f>
        <v>3.0000000000000004</v>
      </c>
    </row>
    <row r="9" spans="1:8" ht="16.5" thickTop="1" x14ac:dyDescent="0.3">
      <c r="A9" s="5" t="s">
        <v>43</v>
      </c>
      <c r="B9" s="6" t="s">
        <v>2</v>
      </c>
      <c r="C9" s="20">
        <f>180*ATAN2(C6,C5)/3.14159</f>
        <v>26.565073615635747</v>
      </c>
      <c r="D9" s="11"/>
      <c r="E9" s="7" t="s">
        <v>38</v>
      </c>
      <c r="F9" s="8" t="s">
        <v>17</v>
      </c>
      <c r="G9" s="22">
        <f>SUM(G8*1.25)</f>
        <v>3.7500000000000004</v>
      </c>
    </row>
    <row r="10" spans="1:8" ht="16.5" thickBot="1" x14ac:dyDescent="0.35">
      <c r="A10" s="7" t="s">
        <v>44</v>
      </c>
      <c r="B10" s="8" t="s">
        <v>3</v>
      </c>
      <c r="C10" s="22">
        <f>180*ATAN2(C5,C6)/3.14159</f>
        <v>63.435002404176323</v>
      </c>
      <c r="D10" s="11"/>
      <c r="E10" s="9" t="s">
        <v>39</v>
      </c>
      <c r="F10" s="10" t="s">
        <v>63</v>
      </c>
      <c r="G10" s="24">
        <f>SUM(G8*0.1)</f>
        <v>0.30000000000000004</v>
      </c>
    </row>
    <row r="11" spans="1:8" ht="16.5" thickTop="1" x14ac:dyDescent="0.3">
      <c r="A11" s="7" t="s">
        <v>25</v>
      </c>
      <c r="B11" s="8" t="s">
        <v>5</v>
      </c>
      <c r="C11" s="22">
        <f>C2*TAN(C9*3.14159/180)/(TAN(C10*3.14159/180)+TAN(C9*3.14159/180))</f>
        <v>0</v>
      </c>
      <c r="D11" s="11"/>
      <c r="E11" s="5" t="s">
        <v>54</v>
      </c>
      <c r="F11" s="6" t="s">
        <v>55</v>
      </c>
      <c r="G11" s="20">
        <f>C20*SIN(3.14159*20/180)</f>
        <v>28.679237648277429</v>
      </c>
      <c r="H11" s="1"/>
    </row>
    <row r="12" spans="1:8" ht="16.5" thickBot="1" x14ac:dyDescent="0.35">
      <c r="A12" s="7" t="s">
        <v>26</v>
      </c>
      <c r="B12" s="8" t="s">
        <v>4</v>
      </c>
      <c r="C12" s="22">
        <f>SUM(C2,-C11)</f>
        <v>0</v>
      </c>
      <c r="D12" s="11"/>
      <c r="E12" s="19" t="s">
        <v>56</v>
      </c>
      <c r="F12" s="18" t="s">
        <v>57</v>
      </c>
      <c r="G12" s="21">
        <f>C21*SIN(3.14159*20/180)</f>
        <v>114.7169505931097</v>
      </c>
      <c r="H12" s="1"/>
    </row>
    <row r="13" spans="1:8" ht="16.5" thickTop="1" x14ac:dyDescent="0.3">
      <c r="A13" s="7" t="s">
        <v>27</v>
      </c>
      <c r="B13" s="8" t="s">
        <v>6</v>
      </c>
      <c r="C13" s="22">
        <f>SQRT(C3/2*C3/2 - C12*C12)</f>
        <v>75</v>
      </c>
      <c r="D13" s="11"/>
      <c r="E13" s="5" t="s">
        <v>47</v>
      </c>
      <c r="F13" s="6" t="s">
        <v>45</v>
      </c>
      <c r="G13" s="20">
        <f>SUM(C20-G9)</f>
        <v>80.102549156242119</v>
      </c>
      <c r="H13" s="1"/>
    </row>
    <row r="14" spans="1:8" ht="15.75" x14ac:dyDescent="0.3">
      <c r="A14" s="7" t="s">
        <v>28</v>
      </c>
      <c r="B14" s="8" t="s">
        <v>7</v>
      </c>
      <c r="C14" s="22">
        <f>SQRT(C4/2*C4/2 - C12*C12)</f>
        <v>150</v>
      </c>
      <c r="D14" s="11"/>
      <c r="E14" s="7" t="s">
        <v>59</v>
      </c>
      <c r="F14" s="8" t="s">
        <v>61</v>
      </c>
      <c r="G14" s="22">
        <f>COS(3.14159*20/180)*C20</f>
        <v>78.795630132093166</v>
      </c>
      <c r="H14" s="1"/>
    </row>
    <row r="15" spans="1:8" ht="16.5" x14ac:dyDescent="0.3">
      <c r="A15" s="7" t="s">
        <v>29</v>
      </c>
      <c r="B15" s="8" t="s">
        <v>8</v>
      </c>
      <c r="C15" s="22">
        <f>C13*TAN(C9*3.14159/180)</f>
        <v>37.5</v>
      </c>
      <c r="D15" s="11"/>
      <c r="E15" s="7" t="s">
        <v>49</v>
      </c>
      <c r="F15" s="28" t="s">
        <v>52</v>
      </c>
      <c r="G15" s="22">
        <f>SUM(G10,3.14159*C18/(C5*2))</f>
        <v>5.0123850000000001</v>
      </c>
    </row>
    <row r="16" spans="1:8" ht="15.75" x14ac:dyDescent="0.3">
      <c r="A16" s="7" t="s">
        <v>30</v>
      </c>
      <c r="B16" s="8" t="s">
        <v>9</v>
      </c>
      <c r="C16" s="22">
        <f>C14*TAN(C9*3.14159/180)</f>
        <v>75</v>
      </c>
      <c r="D16" s="11"/>
      <c r="E16" s="7" t="s">
        <v>48</v>
      </c>
      <c r="F16" s="28" t="s">
        <v>46</v>
      </c>
      <c r="G16" s="22">
        <f>SUM(C21-G9)</f>
        <v>331.66019662496842</v>
      </c>
    </row>
    <row r="17" spans="1:8" ht="15.75" x14ac:dyDescent="0.3">
      <c r="A17" s="7" t="s">
        <v>31</v>
      </c>
      <c r="B17" s="8" t="s">
        <v>10</v>
      </c>
      <c r="C17" s="22">
        <f>2*SQRT(C15*C15+C11*C11)</f>
        <v>75</v>
      </c>
      <c r="D17" s="11"/>
      <c r="E17" s="7" t="s">
        <v>60</v>
      </c>
      <c r="F17" s="8" t="s">
        <v>62</v>
      </c>
      <c r="G17" s="22">
        <f>COS(3.14159*20/180)*C21</f>
        <v>315.18252052837261</v>
      </c>
    </row>
    <row r="18" spans="1:8" ht="17.25" thickBot="1" x14ac:dyDescent="0.35">
      <c r="A18" s="7" t="s">
        <v>32</v>
      </c>
      <c r="B18" s="8" t="s">
        <v>10</v>
      </c>
      <c r="C18" s="22">
        <f>2*SQRT(C16*C16+C11*C11)</f>
        <v>150</v>
      </c>
      <c r="D18" s="11"/>
      <c r="E18" s="9" t="s">
        <v>53</v>
      </c>
      <c r="F18" s="38" t="s">
        <v>51</v>
      </c>
      <c r="G18" s="24">
        <f>SUM(G10,3.14159*C4/(C6*2))</f>
        <v>5.0123850000000001</v>
      </c>
    </row>
    <row r="19" spans="1:8" ht="16.5" thickTop="1" x14ac:dyDescent="0.3">
      <c r="A19" s="7" t="s">
        <v>42</v>
      </c>
      <c r="B19" s="8" t="s">
        <v>58</v>
      </c>
      <c r="C19" s="22">
        <f>SQRT((C4/2)*(C4/2)+(C16)*(C16))</f>
        <v>167.70509831248424</v>
      </c>
      <c r="D19" s="11"/>
      <c r="E19" s="29"/>
      <c r="G19" s="1"/>
    </row>
    <row r="20" spans="1:8" ht="15.75" x14ac:dyDescent="0.3">
      <c r="A20" s="7" t="s">
        <v>33</v>
      </c>
      <c r="B20" s="8" t="s">
        <v>11</v>
      </c>
      <c r="C20" s="22">
        <f>C19*TAN(C9*3.14159/180)</f>
        <v>83.852549156242119</v>
      </c>
      <c r="D20" s="11"/>
      <c r="E20" s="29"/>
      <c r="G20" s="1"/>
    </row>
    <row r="21" spans="1:8" ht="16.5" thickBot="1" x14ac:dyDescent="0.35">
      <c r="A21" s="9" t="s">
        <v>34</v>
      </c>
      <c r="B21" s="10" t="s">
        <v>12</v>
      </c>
      <c r="C21" s="24">
        <f>C19*TAN(C10*3.14159/180)</f>
        <v>335.41019662496842</v>
      </c>
      <c r="D21" s="11"/>
      <c r="E21" s="29"/>
      <c r="G21" s="1"/>
    </row>
    <row r="22" spans="1:8" ht="13.5" thickTop="1" x14ac:dyDescent="0.2">
      <c r="A22" s="37"/>
      <c r="B22" s="37"/>
      <c r="C22" s="27"/>
      <c r="D22" s="26"/>
      <c r="E22" s="29"/>
      <c r="F22" s="36"/>
      <c r="G22" s="1"/>
    </row>
    <row r="23" spans="1:8" x14ac:dyDescent="0.2">
      <c r="D23" s="26"/>
      <c r="E23" s="29"/>
      <c r="F23" s="36"/>
      <c r="G23" s="1"/>
    </row>
    <row r="24" spans="1:8" x14ac:dyDescent="0.2">
      <c r="E24" s="29"/>
      <c r="F24" s="36"/>
      <c r="G24" s="1"/>
      <c r="H24" s="1"/>
    </row>
    <row r="25" spans="1:8" x14ac:dyDescent="0.2">
      <c r="E25" s="29"/>
      <c r="F25" s="36"/>
      <c r="G25" s="1"/>
      <c r="H25" s="1"/>
    </row>
    <row r="26" spans="1:8" x14ac:dyDescent="0.2">
      <c r="H26" s="1"/>
    </row>
    <row r="27" spans="1:8" x14ac:dyDescent="0.2">
      <c r="H27" s="1"/>
    </row>
    <row r="28" spans="1:8" x14ac:dyDescent="0.2">
      <c r="H28" s="1"/>
    </row>
    <row r="29" spans="1:8" x14ac:dyDescent="0.2">
      <c r="H29" s="1"/>
    </row>
    <row r="30" spans="1:8" x14ac:dyDescent="0.2">
      <c r="H30" s="1"/>
    </row>
    <row r="31" spans="1:8" x14ac:dyDescent="0.2">
      <c r="H31" s="1"/>
    </row>
    <row r="32" spans="1:8" x14ac:dyDescent="0.2">
      <c r="H32" s="1"/>
    </row>
    <row r="33" spans="4:8" ht="15.75" customHeight="1" x14ac:dyDescent="0.2">
      <c r="H33" s="1"/>
    </row>
    <row r="34" spans="4:8" ht="15.75" customHeight="1" x14ac:dyDescent="0.25">
      <c r="E34" s="46"/>
      <c r="F34" s="47"/>
      <c r="G34" s="47"/>
      <c r="H34" s="1"/>
    </row>
    <row r="35" spans="4:8" ht="15.75" customHeight="1" x14ac:dyDescent="0.2">
      <c r="H35" s="1"/>
    </row>
    <row r="37" spans="4:8" x14ac:dyDescent="0.2">
      <c r="G37" s="1"/>
    </row>
    <row r="38" spans="4:8" x14ac:dyDescent="0.2">
      <c r="E38" s="29"/>
      <c r="G38" s="1"/>
    </row>
    <row r="40" spans="4:8" x14ac:dyDescent="0.2">
      <c r="E40" s="29"/>
      <c r="G40" s="1"/>
    </row>
    <row r="41" spans="4:8" x14ac:dyDescent="0.2">
      <c r="G41" s="1"/>
    </row>
    <row r="42" spans="4:8" x14ac:dyDescent="0.2">
      <c r="G42" s="1"/>
    </row>
    <row r="43" spans="4:8" x14ac:dyDescent="0.2">
      <c r="G43" s="1"/>
    </row>
    <row r="44" spans="4:8" x14ac:dyDescent="0.2">
      <c r="D44" s="26"/>
    </row>
    <row r="46" spans="4:8" x14ac:dyDescent="0.2">
      <c r="G46" s="1"/>
    </row>
  </sheetData>
  <sheetProtection password="E7C2" sheet="1" objects="1" scenarios="1"/>
  <protectedRanges>
    <protectedRange sqref="C2:C6" name="Range1"/>
  </protectedRanges>
  <mergeCells count="5">
    <mergeCell ref="E1:G1"/>
    <mergeCell ref="E34:G34"/>
    <mergeCell ref="A1:C1"/>
    <mergeCell ref="A8:C8"/>
    <mergeCell ref="E5:G5"/>
  </mergeCells>
  <phoneticPr fontId="2" type="noConversion"/>
  <pageMargins left="0.32" right="0.26" top="0.85" bottom="0.59" header="0.22" footer="0.13"/>
  <pageSetup paperSize="9" orientation="landscape" horizontalDpi="4294967293" r:id="rId1"/>
  <headerFooter alignWithMargins="0">
    <oddHeader>&amp;L&amp;"Arial,fed"&amp;14Calculation of straight tapered teeth skeew bevel gear on a hyperboloid&amp;R&amp;"Arial,fed"&amp;18©  Oldbelt
&amp;12 1 sep 2012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Bolsover</dc:creator>
  <cp:lastModifiedBy>David Bolsover</cp:lastModifiedBy>
  <cp:lastPrinted>2012-09-03T21:52:19Z</cp:lastPrinted>
  <dcterms:created xsi:type="dcterms:W3CDTF">2012-08-12T15:06:27Z</dcterms:created>
  <dcterms:modified xsi:type="dcterms:W3CDTF">2023-03-31T19:05:17Z</dcterms:modified>
</cp:coreProperties>
</file>